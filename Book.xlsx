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losort\Desktop\"/>
    </mc:Choice>
  </mc:AlternateContent>
  <xr:revisionPtr revIDLastSave="0" documentId="8_{2FBA3803-097B-442E-87B5-59825E5400A9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NIHL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N14" i="1"/>
  <c r="M14" i="1"/>
  <c r="L14" i="1"/>
  <c r="K14" i="1"/>
  <c r="J14" i="1"/>
  <c r="H14" i="1"/>
  <c r="G14" i="1"/>
  <c r="F14" i="1"/>
  <c r="E14" i="1"/>
  <c r="O13" i="1"/>
  <c r="N13" i="1"/>
  <c r="M13" i="1"/>
  <c r="L13" i="1"/>
  <c r="K13" i="1"/>
  <c r="J13" i="1"/>
  <c r="H13" i="1"/>
  <c r="G13" i="1"/>
  <c r="F13" i="1"/>
  <c r="E13" i="1"/>
  <c r="O12" i="1"/>
  <c r="N12" i="1"/>
  <c r="M12" i="1"/>
  <c r="L12" i="1"/>
  <c r="K12" i="1"/>
  <c r="J12" i="1"/>
  <c r="H12" i="1"/>
  <c r="G12" i="1"/>
  <c r="F12" i="1"/>
  <c r="E12" i="1"/>
  <c r="O11" i="1"/>
  <c r="N11" i="1"/>
  <c r="M11" i="1"/>
  <c r="L11" i="1"/>
  <c r="K11" i="1"/>
  <c r="J11" i="1"/>
  <c r="H11" i="1"/>
  <c r="G11" i="1"/>
  <c r="F11" i="1"/>
  <c r="E11" i="1"/>
  <c r="O10" i="1"/>
  <c r="N10" i="1"/>
  <c r="M10" i="1"/>
  <c r="L10" i="1"/>
  <c r="K10" i="1"/>
  <c r="J10" i="1"/>
  <c r="H10" i="1"/>
  <c r="G10" i="1"/>
  <c r="F10" i="1"/>
  <c r="E10" i="1"/>
  <c r="O9" i="1"/>
  <c r="N9" i="1"/>
  <c r="M9" i="1"/>
  <c r="L9" i="1"/>
  <c r="K9" i="1"/>
  <c r="J9" i="1"/>
  <c r="H9" i="1"/>
  <c r="G9" i="1"/>
  <c r="F9" i="1"/>
  <c r="E9" i="1"/>
  <c r="O8" i="1"/>
  <c r="N8" i="1"/>
  <c r="M8" i="1"/>
  <c r="L8" i="1"/>
  <c r="K8" i="1"/>
  <c r="J8" i="1"/>
  <c r="H8" i="1"/>
  <c r="G8" i="1"/>
  <c r="F8" i="1"/>
  <c r="E8" i="1"/>
  <c r="O7" i="1"/>
  <c r="N7" i="1"/>
  <c r="M7" i="1"/>
  <c r="L7" i="1"/>
  <c r="K7" i="1"/>
  <c r="J7" i="1"/>
  <c r="H7" i="1"/>
  <c r="G7" i="1"/>
  <c r="F7" i="1"/>
  <c r="E7" i="1"/>
  <c r="O6" i="1"/>
  <c r="N6" i="1"/>
  <c r="M6" i="1"/>
  <c r="L6" i="1"/>
  <c r="K6" i="1"/>
  <c r="J6" i="1"/>
  <c r="H6" i="1"/>
  <c r="G6" i="1"/>
  <c r="F6" i="1"/>
  <c r="E6" i="1"/>
  <c r="O5" i="1"/>
  <c r="N5" i="1"/>
  <c r="M5" i="1"/>
  <c r="L5" i="1"/>
  <c r="K5" i="1"/>
  <c r="J5" i="1"/>
  <c r="H5" i="1"/>
  <c r="G5" i="1"/>
  <c r="F5" i="1"/>
  <c r="E5" i="1"/>
</calcChain>
</file>

<file path=xl/sharedStrings.xml><?xml version="1.0" encoding="utf-8"?>
<sst xmlns="http://schemas.openxmlformats.org/spreadsheetml/2006/main" count="46" uniqueCount="41">
  <si>
    <t>NIHL / ABR Experimental Schedule</t>
  </si>
  <si>
    <t>Enter only the date in column D (ABR Baseline 1, day -4). All later ABR/NIHL dates autofill from that date.</t>
  </si>
  <si>
    <t>Mouse ID</t>
  </si>
  <si>
    <t>BCM arrival Date</t>
  </si>
  <si>
    <t>Surgery Date</t>
  </si>
  <si>
    <t>ABR Baseline 1
(day -4) - Left ear</t>
  </si>
  <si>
    <t>ABR Baseline 2
(day -3) - Right ear</t>
  </si>
  <si>
    <t>ABR Baseline 4
(day -1) - Right ear</t>
  </si>
  <si>
    <t>NIHL
(Day 0)</t>
  </si>
  <si>
    <t>Exposed ABR1
(Day +1) Left + Right ear</t>
  </si>
  <si>
    <t>Exposed ABR2
(Day +3) Left + Right ear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</si>
  <si>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</si>
  <si>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</si>
  <si>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</si>
  <si>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</si>
  <si>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</si>
  <si>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</si>
  <si>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</si>
  <si>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</si>
  <si>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</si>
  <si>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</si>
  <si>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Protocol Day</t>
  </si>
  <si>
    <t>Offset from Day -4</t>
  </si>
  <si>
    <t>Day -4</t>
  </si>
  <si>
    <t>Day -3</t>
  </si>
  <si>
    <t>Day -2</t>
  </si>
  <si>
    <t>Day -1</t>
  </si>
  <si>
    <t>Day 0</t>
  </si>
  <si>
    <t>Day +1</t>
  </si>
  <si>
    <t>Day +3</t>
  </si>
  <si>
    <t>Day +13</t>
  </si>
  <si>
    <t>Day +14</t>
  </si>
  <si>
    <t>Day +15</t>
  </si>
  <si>
    <t>Day +16</t>
  </si>
  <si>
    <t>Sound Level</t>
  </si>
  <si>
    <t>ABR Baseline 3
(day -2) - Left ear</t>
  </si>
  <si>
    <t>Exposed ABR3 Left ear
(Day +13)</t>
  </si>
  <si>
    <t>Exposed ABR4 Right ear
(Day +14)</t>
  </si>
  <si>
    <t>Exposed ABR5 left ear
(Day +15)</t>
  </si>
  <si>
    <t>Exposed ABR6 Right ear
(Day +16)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</si>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</sst>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0"/>
      <color rgb="FFFFFFFF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BF9000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2" fontId="3" fillId="4" borderId="0" xfId="0" applyNumberFormat="1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IHLScheduleTable" displayName="NIHLScheduleTable" ref="A4:O14">
  <tableColumns count="15">
    <tableColumn id="1" xr3:uid="{00000000-0010-0000-0000-000001000000}" name="Mouse ID"/>
    <tableColumn id="2" xr3:uid="{00000000-0010-0000-0000-000002000000}" name="BCM arrival Date"/>
    <tableColumn id="3" xr3:uid="{00000000-0010-0000-0000-000003000000}" name="Surgery Date"/>
    <tableColumn id="4" xr3:uid="{00000000-0010-0000-0000-000004000000}" name="ABR Baseline 1_x000a_(day -4) - Left ear"/>
    <tableColumn id="5" xr3:uid="{00000000-0010-0000-0000-000005000000}" name="ABR Baseline 2_x000a_(day -3) - Right ear"/>
    <tableColumn id="6" xr3:uid="{00000000-0010-0000-0000-000006000000}" name="ABR Baseline 3_x000a_(day -2) - Left ear"/>
    <tableColumn id="7" xr3:uid="{00000000-0010-0000-0000-000007000000}" name="ABR Baseline 4_x000a_(day -1) - Right ear"/>
    <tableColumn id="8" xr3:uid="{00000000-0010-0000-0000-000008000000}" name="NIHL_x000a_(Day 0)"/>
    <tableColumn id="15" xr3:uid="{8DC5CB09-49CC-4F51-9A7D-2210E08202F5}" name="Sound Level" dataDxfId="0"/>
    <tableColumn id="9" xr3:uid="{00000000-0010-0000-0000-000009000000}" name="Exposed ABR1_x000a_(Day +1) Left + Right ear"/>
    <tableColumn id="10" xr3:uid="{00000000-0010-0000-0000-00000A000000}" name="Exposed ABR2_x000a_(Day +3) Left + Right ear"/>
    <tableColumn id="11" xr3:uid="{00000000-0010-0000-0000-00000B000000}" name="Exposed ABR3 Left ear_x000a_(Day +13)"/>
    <tableColumn id="12" xr3:uid="{00000000-0010-0000-0000-00000C000000}" name="Exposed ABR4 Right ear_x000a_(Day +14)"/>
    <tableColumn id="13" xr3:uid="{00000000-0010-0000-0000-00000D000000}" name="Exposed ABR5 left ear_x000a_(Day +15)"/>
    <tableColumn id="14" xr3:uid="{00000000-0010-0000-0000-00000E000000}" name="Exposed ABR6 Right ear_x000a_(Day +16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topLeftCell="A4" workbookViewId="0">
      <selection activeCell="I28" sqref="I28"/>
    </sheetView>
  </sheetViews>
  <sheetFormatPr defaultRowHeight="14.25"/>
  <cols>
    <col min="1" max="1" width="10" customWidth="1"/>
    <col min="2" max="2" width="16" customWidth="1"/>
    <col min="3" max="3" width="14" customWidth="1"/>
    <col min="4" max="7" width="22" customWidth="1"/>
    <col min="8" max="8" width="14" customWidth="1"/>
    <col min="9" max="10" width="28" customWidth="1"/>
    <col min="11" max="14" width="18" customWidth="1"/>
    <col min="15" max="15" width="13.75" customWidth="1"/>
  </cols>
  <sheetData>
    <row r="1" spans="1:15" ht="27.9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5" ht="24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5" ht="45.95" customHeight="1">
      <c r="A4" s="2" t="s">
        <v>2</v>
      </c>
      <c r="B4" s="2" t="s">
        <v>3</v>
      </c>
      <c r="C4" s="2" t="s">
        <v>4</v>
      </c>
      <c r="D4" s="7" t="s">
        <v>5</v>
      </c>
      <c r="E4" s="2" t="s">
        <v>6</v>
      </c>
      <c r="F4" s="2" t="s">
        <v>35</v>
      </c>
      <c r="G4" s="2" t="s">
        <v>7</v>
      </c>
      <c r="H4" s="2" t="s">
        <v>8</v>
      </c>
      <c r="I4" s="11" t="s">
        <v>34</v>
      </c>
      <c r="J4" s="2" t="s">
        <v>9</v>
      </c>
      <c r="K4" s="2" t="s">
        <v>10</v>
      </c>
      <c r="L4" s="2" t="s">
        <v>36</v>
      </c>
      <c r="M4" s="2" t="s">
        <v>37</v>
      </c>
      <c r="N4" s="2" t="s">
        <v>38</v>
      </c>
      <c r="O4" s="2" t="s">
        <v>39</v>
      </c>
    </row>
    <row r="5" spans="1:15">
      <c r="A5" s="4" t="s">
        <v>11</v>
      </c>
      <c r="B5" s="5">
        <v>46132</v>
      </c>
      <c r="C5" s="5">
        <v>46139</v>
      </c>
      <c r="D5" s="6">
        <v>46148</v>
      </c>
      <c r="E5" s="5">
        <f t="shared" ref="E5:E14" si="0">IF($D5="","",$D5+1)</f>
        <v>46149</v>
      </c>
      <c r="F5" s="5">
        <f t="shared" ref="F5:F14" si="1">IF($D5="","",$D5+2)</f>
        <v>46150</v>
      </c>
      <c r="G5" s="5">
        <f t="shared" ref="G5:G14" si="2">IF($D5="","",$D5+3)</f>
        <v>46151</v>
      </c>
      <c r="H5" s="5">
        <f t="shared" ref="H5:H14" si="3">IF($D5="","",$D5+4)</f>
        <v>46152</v>
      </c>
      <c r="I5" s="12">
        <v>103</v>
      </c>
      <c r="J5" s="5">
        <f t="shared" ref="J5:J14" si="4">IF($D5="","",$D5+5)</f>
        <v>46153</v>
      </c>
      <c r="K5" s="5">
        <f t="shared" ref="K5:K14" si="5">IF($D5="","",$D5+7)</f>
        <v>46155</v>
      </c>
      <c r="L5" s="5">
        <f t="shared" ref="L5:L14" si="6">IF($D5="","",$D5+17)</f>
        <v>46165</v>
      </c>
      <c r="M5" s="5">
        <f t="shared" ref="M5:M14" si="7">IF($D5="","",$D5+18)</f>
        <v>46166</v>
      </c>
      <c r="N5" s="5">
        <f t="shared" ref="N5:N14" si="8">IF($D5="","",$D5+19)</f>
        <v>46167</v>
      </c>
      <c r="O5" s="5">
        <f t="shared" ref="O5:O14" si="9">IF($D5="","",$D5+20)</f>
        <v>46168</v>
      </c>
    </row>
    <row r="6" spans="1:15">
      <c r="A6" s="4" t="s">
        <v>12</v>
      </c>
      <c r="B6" s="5">
        <v>46132</v>
      </c>
      <c r="C6" s="5">
        <v>46139</v>
      </c>
      <c r="D6" s="6">
        <v>46148</v>
      </c>
      <c r="E6" s="5">
        <f t="shared" si="0"/>
        <v>46149</v>
      </c>
      <c r="F6" s="5">
        <f t="shared" si="1"/>
        <v>46150</v>
      </c>
      <c r="G6" s="5">
        <f t="shared" si="2"/>
        <v>46151</v>
      </c>
      <c r="H6" s="5">
        <f t="shared" si="3"/>
        <v>46152</v>
      </c>
      <c r="I6" s="12">
        <v>103</v>
      </c>
      <c r="J6" s="5">
        <f t="shared" si="4"/>
        <v>46153</v>
      </c>
      <c r="K6" s="5">
        <f t="shared" si="5"/>
        <v>46155</v>
      </c>
      <c r="L6" s="5">
        <f t="shared" si="6"/>
        <v>46165</v>
      </c>
      <c r="M6" s="5">
        <f t="shared" si="7"/>
        <v>46166</v>
      </c>
      <c r="N6" s="5">
        <f t="shared" si="8"/>
        <v>46167</v>
      </c>
      <c r="O6" s="5">
        <f t="shared" si="9"/>
        <v>46168</v>
      </c>
    </row>
    <row r="7" spans="1:15">
      <c r="A7" s="4" t="s">
        <v>13</v>
      </c>
      <c r="B7" s="5">
        <v>46132</v>
      </c>
      <c r="C7" s="5">
        <v>46139</v>
      </c>
      <c r="D7" s="6">
        <v>46149</v>
      </c>
      <c r="E7" s="5">
        <f t="shared" si="0"/>
        <v>46150</v>
      </c>
      <c r="F7" s="5">
        <f t="shared" si="1"/>
        <v>46151</v>
      </c>
      <c r="G7" s="5">
        <f t="shared" si="2"/>
        <v>46152</v>
      </c>
      <c r="H7" s="5">
        <f t="shared" si="3"/>
        <v>46153</v>
      </c>
      <c r="I7" s="12">
        <v>104</v>
      </c>
      <c r="J7" s="5">
        <f t="shared" si="4"/>
        <v>46154</v>
      </c>
      <c r="K7" s="5">
        <f t="shared" si="5"/>
        <v>46156</v>
      </c>
      <c r="L7" s="5">
        <f t="shared" si="6"/>
        <v>46166</v>
      </c>
      <c r="M7" s="5">
        <f t="shared" si="7"/>
        <v>46167</v>
      </c>
      <c r="N7" s="5">
        <f t="shared" si="8"/>
        <v>46168</v>
      </c>
      <c r="O7" s="5">
        <f t="shared" si="9"/>
        <v>46169</v>
      </c>
    </row>
    <row r="8" spans="1:15">
      <c r="A8" s="4" t="s">
        <v>14</v>
      </c>
      <c r="B8" s="5">
        <v>46132</v>
      </c>
      <c r="C8" s="5">
        <v>46139</v>
      </c>
      <c r="D8" s="6">
        <v>46149</v>
      </c>
      <c r="E8" s="5">
        <f t="shared" si="0"/>
        <v>46150</v>
      </c>
      <c r="F8" s="5">
        <f t="shared" si="1"/>
        <v>46151</v>
      </c>
      <c r="G8" s="5">
        <f t="shared" si="2"/>
        <v>46152</v>
      </c>
      <c r="H8" s="5">
        <f t="shared" si="3"/>
        <v>46153</v>
      </c>
      <c r="I8" s="12">
        <v>104</v>
      </c>
      <c r="J8" s="5">
        <f t="shared" si="4"/>
        <v>46154</v>
      </c>
      <c r="K8" s="5">
        <f t="shared" si="5"/>
        <v>46156</v>
      </c>
      <c r="L8" s="5">
        <f t="shared" si="6"/>
        <v>46166</v>
      </c>
      <c r="M8" s="5">
        <f t="shared" si="7"/>
        <v>46167</v>
      </c>
      <c r="N8" s="5">
        <f t="shared" si="8"/>
        <v>46168</v>
      </c>
      <c r="O8" s="5">
        <f t="shared" si="9"/>
        <v>46169</v>
      </c>
    </row>
    <row r="9" spans="1:15">
      <c r="A9" s="4" t="s">
        <v>15</v>
      </c>
      <c r="B9" s="5">
        <v>46132</v>
      </c>
      <c r="C9" s="5">
        <v>46139</v>
      </c>
      <c r="D9" s="6">
        <v>46156</v>
      </c>
      <c r="E9" s="5">
        <f t="shared" si="0"/>
        <v>46157</v>
      </c>
      <c r="F9" s="5">
        <f t="shared" si="1"/>
        <v>46158</v>
      </c>
      <c r="G9" s="5">
        <f t="shared" si="2"/>
        <v>46159</v>
      </c>
      <c r="H9" s="5">
        <f t="shared" si="3"/>
        <v>46160</v>
      </c>
      <c r="I9" s="12" t="s">
        <v>40</v>
      </c>
      <c r="J9" s="5">
        <f t="shared" si="4"/>
        <v>46161</v>
      </c>
      <c r="K9" s="5">
        <f t="shared" si="5"/>
        <v>46163</v>
      </c>
      <c r="L9" s="5">
        <f t="shared" si="6"/>
        <v>46173</v>
      </c>
      <c r="M9" s="5">
        <f t="shared" si="7"/>
        <v>46174</v>
      </c>
      <c r="N9" s="5">
        <f t="shared" si="8"/>
        <v>46175</v>
      </c>
      <c r="O9" s="5">
        <f t="shared" si="9"/>
        <v>46176</v>
      </c>
    </row>
    <row r="10" spans="1:15">
      <c r="A10" s="4" t="s">
        <v>16</v>
      </c>
      <c r="B10" s="5">
        <v>46132</v>
      </c>
      <c r="C10" s="5">
        <v>46140</v>
      </c>
      <c r="D10" s="6">
        <v>46157</v>
      </c>
      <c r="E10" s="5">
        <f t="shared" si="0"/>
        <v>46158</v>
      </c>
      <c r="F10" s="5">
        <f t="shared" si="1"/>
        <v>46159</v>
      </c>
      <c r="G10" s="5">
        <f t="shared" si="2"/>
        <v>46160</v>
      </c>
      <c r="H10" s="5">
        <f t="shared" si="3"/>
        <v>46161</v>
      </c>
      <c r="I10" s="12" t="s">
        <v>40</v>
      </c>
      <c r="J10" s="5">
        <f t="shared" si="4"/>
        <v>46162</v>
      </c>
      <c r="K10" s="5">
        <f t="shared" si="5"/>
        <v>46164</v>
      </c>
      <c r="L10" s="5">
        <f t="shared" si="6"/>
        <v>46174</v>
      </c>
      <c r="M10" s="5">
        <f t="shared" si="7"/>
        <v>46175</v>
      </c>
      <c r="N10" s="5">
        <f t="shared" si="8"/>
        <v>46176</v>
      </c>
      <c r="O10" s="5">
        <f t="shared" si="9"/>
        <v>46177</v>
      </c>
    </row>
    <row r="11" spans="1:15">
      <c r="A11" s="4" t="s">
        <v>17</v>
      </c>
      <c r="B11" s="5">
        <v>46132</v>
      </c>
      <c r="C11" s="5">
        <v>46140</v>
      </c>
      <c r="D11" s="6">
        <v>46160</v>
      </c>
      <c r="E11" s="5">
        <f t="shared" si="0"/>
        <v>46161</v>
      </c>
      <c r="F11" s="5">
        <f t="shared" si="1"/>
        <v>46162</v>
      </c>
      <c r="G11" s="5">
        <f t="shared" si="2"/>
        <v>46163</v>
      </c>
      <c r="H11" s="5">
        <f t="shared" si="3"/>
        <v>46164</v>
      </c>
      <c r="I11" s="12" t="s">
        <v>40</v>
      </c>
      <c r="J11" s="5">
        <f t="shared" si="4"/>
        <v>46165</v>
      </c>
      <c r="K11" s="5">
        <f t="shared" si="5"/>
        <v>46167</v>
      </c>
      <c r="L11" s="5">
        <f t="shared" si="6"/>
        <v>46177</v>
      </c>
      <c r="M11" s="5">
        <f t="shared" si="7"/>
        <v>46178</v>
      </c>
      <c r="N11" s="5">
        <f t="shared" si="8"/>
        <v>46179</v>
      </c>
      <c r="O11" s="5">
        <f t="shared" si="9"/>
        <v>46180</v>
      </c>
    </row>
    <row r="12" spans="1:15">
      <c r="A12" s="4" t="s">
        <v>18</v>
      </c>
      <c r="B12" s="5">
        <v>46132</v>
      </c>
      <c r="C12" s="5">
        <v>46140</v>
      </c>
      <c r="D12" s="6">
        <v>46161</v>
      </c>
      <c r="E12" s="5">
        <f t="shared" si="0"/>
        <v>46162</v>
      </c>
      <c r="F12" s="5">
        <f t="shared" si="1"/>
        <v>46163</v>
      </c>
      <c r="G12" s="5">
        <f t="shared" si="2"/>
        <v>46164</v>
      </c>
      <c r="H12" s="5">
        <f t="shared" si="3"/>
        <v>46165</v>
      </c>
      <c r="I12" s="12" t="s">
        <v>40</v>
      </c>
      <c r="J12" s="5">
        <f t="shared" si="4"/>
        <v>46166</v>
      </c>
      <c r="K12" s="5">
        <f t="shared" si="5"/>
        <v>46168</v>
      </c>
      <c r="L12" s="5">
        <f t="shared" si="6"/>
        <v>46178</v>
      </c>
      <c r="M12" s="5">
        <f t="shared" si="7"/>
        <v>46179</v>
      </c>
      <c r="N12" s="5">
        <f t="shared" si="8"/>
        <v>46180</v>
      </c>
      <c r="O12" s="5">
        <f t="shared" si="9"/>
        <v>46181</v>
      </c>
    </row>
    <row r="13" spans="1:15">
      <c r="A13" s="4" t="s">
        <v>19</v>
      </c>
      <c r="B13" s="5">
        <v>46132</v>
      </c>
      <c r="C13" s="5">
        <v>46140</v>
      </c>
      <c r="D13" s="6">
        <v>46161</v>
      </c>
      <c r="E13" s="5">
        <f t="shared" si="0"/>
        <v>46162</v>
      </c>
      <c r="F13" s="5">
        <f t="shared" si="1"/>
        <v>46163</v>
      </c>
      <c r="G13" s="5">
        <f t="shared" si="2"/>
        <v>46164</v>
      </c>
      <c r="H13" s="5">
        <f t="shared" si="3"/>
        <v>46165</v>
      </c>
      <c r="I13" s="12" t="s">
        <v>40</v>
      </c>
      <c r="J13" s="5">
        <f t="shared" si="4"/>
        <v>46166</v>
      </c>
      <c r="K13" s="5">
        <f t="shared" si="5"/>
        <v>46168</v>
      </c>
      <c r="L13" s="5">
        <f t="shared" si="6"/>
        <v>46178</v>
      </c>
      <c r="M13" s="5">
        <f t="shared" si="7"/>
        <v>46179</v>
      </c>
      <c r="N13" s="5">
        <f t="shared" si="8"/>
        <v>46180</v>
      </c>
      <c r="O13" s="5">
        <f t="shared" si="9"/>
        <v>46181</v>
      </c>
    </row>
    <row r="14" spans="1:15">
      <c r="A14" s="4" t="s">
        <v>20</v>
      </c>
      <c r="B14" s="5">
        <v>46132</v>
      </c>
      <c r="C14" s="5">
        <v>46140</v>
      </c>
      <c r="D14" s="6">
        <v>46169</v>
      </c>
      <c r="E14" s="5">
        <f t="shared" si="0"/>
        <v>46170</v>
      </c>
      <c r="F14" s="5">
        <f t="shared" si="1"/>
        <v>46171</v>
      </c>
      <c r="G14" s="5">
        <f t="shared" si="2"/>
        <v>46172</v>
      </c>
      <c r="H14" s="5">
        <f t="shared" si="3"/>
        <v>46173</v>
      </c>
      <c r="I14" s="12" t="s">
        <v>40</v>
      </c>
      <c r="J14" s="5">
        <f t="shared" si="4"/>
        <v>46174</v>
      </c>
      <c r="K14" s="5">
        <f t="shared" si="5"/>
        <v>46176</v>
      </c>
      <c r="L14" s="5">
        <f t="shared" si="6"/>
        <v>46186</v>
      </c>
      <c r="M14" s="5">
        <f t="shared" si="7"/>
        <v>46187</v>
      </c>
      <c r="N14" s="5">
        <f t="shared" si="8"/>
        <v>46188</v>
      </c>
      <c r="O14" s="5">
        <f t="shared" si="9"/>
        <v>46189</v>
      </c>
    </row>
    <row r="17" spans="1:9" ht="15">
      <c r="A17" s="8" t="s">
        <v>21</v>
      </c>
      <c r="B17" s="8" t="s">
        <v>22</v>
      </c>
    </row>
    <row r="18" spans="1:9">
      <c r="A18" s="3" t="s">
        <v>23</v>
      </c>
      <c r="B18" s="3">
        <v>0</v>
      </c>
    </row>
    <row r="19" spans="1:9">
      <c r="A19" s="3" t="s">
        <v>24</v>
      </c>
      <c r="B19" s="3">
        <v>1</v>
      </c>
    </row>
    <row r="20" spans="1:9">
      <c r="A20" s="3" t="s">
        <v>25</v>
      </c>
      <c r="B20" s="3">
        <v>2</v>
      </c>
    </row>
    <row r="21" spans="1:9">
      <c r="A21" s="3" t="s">
        <v>26</v>
      </c>
      <c r="B21" s="3">
        <v>3</v>
      </c>
    </row>
    <row r="22" spans="1:9">
      <c r="A22" s="3" t="s">
        <v>27</v>
      </c>
      <c r="B22" s="3">
        <v>4</v>
      </c>
    </row>
    <row r="23" spans="1:9">
      <c r="A23" s="3" t="s">
        <v>28</v>
      </c>
      <c r="B23" s="3">
        <v>5</v>
      </c>
    </row>
    <row r="24" spans="1:9">
      <c r="A24" s="3" t="s">
        <v>29</v>
      </c>
      <c r="B24" s="3">
        <v>7</v>
      </c>
    </row>
    <row r="25" spans="1:9">
      <c r="A25" s="3" t="s">
        <v>30</v>
      </c>
      <c r="B25" s="3">
        <v>17</v>
      </c>
    </row>
    <row r="26" spans="1:9">
      <c r="A26" s="3" t="s">
        <v>31</v>
      </c>
      <c r="B26" s="3">
        <v>18</v>
      </c>
    </row>
    <row r="27" spans="1:9">
      <c r="A27" s="3" t="s">
        <v>32</v>
      </c>
      <c r="B27" s="3">
        <v>19</v>
      </c>
      <c r="E27" s="1"/>
      <c r="F27" s="1"/>
      <c r="G27" s="1"/>
      <c r="H27" s="1"/>
      <c r="I27" s="1"/>
    </row>
    <row r="28" spans="1:9">
      <c r="A28" s="3" t="s">
        <v>33</v>
      </c>
      <c r="B28" s="3">
        <v>20</v>
      </c>
      <c r="E28" s="1"/>
      <c r="F28" s="1"/>
      <c r="G28" s="1"/>
      <c r="H28" s="1"/>
      <c r="I28" s="1"/>
    </row>
    <row r="29" spans="1:9">
      <c r="E29" s="1"/>
      <c r="F29" s="1"/>
      <c r="G29" s="1"/>
      <c r="H29" s="1"/>
      <c r="I29" s="1"/>
    </row>
    <row r="30" spans="1:9">
      <c r="E30" s="1"/>
      <c r="F30" s="1"/>
      <c r="G30" s="1"/>
      <c r="H30" s="1"/>
      <c r="I30" s="1"/>
    </row>
    <row r="31" spans="1:9">
      <c r="E31" s="1"/>
      <c r="F31" s="1"/>
      <c r="G31" s="1"/>
      <c r="H31" s="1"/>
      <c r="I31" s="1"/>
    </row>
    <row r="32" spans="1:9">
      <c r="E32" s="1"/>
      <c r="F32" s="1"/>
      <c r="G32" s="1"/>
      <c r="H32" s="1"/>
      <c r="I32" s="1"/>
    </row>
    <row r="33" spans="5:9">
      <c r="E33" s="1"/>
      <c r="F33" s="1"/>
      <c r="G33" s="1"/>
      <c r="H33" s="1"/>
      <c r="I33" s="1"/>
    </row>
    <row r="34" spans="5:9">
      <c r="E34" s="1"/>
      <c r="F34" s="1"/>
      <c r="G34" s="1"/>
      <c r="H34" s="1"/>
      <c r="I34" s="1"/>
    </row>
    <row r="35" spans="5:9">
      <c r="E35" s="1"/>
      <c r="F35" s="1"/>
      <c r="G35" s="1"/>
      <c r="H35" s="1"/>
      <c r="I35" s="1"/>
    </row>
    <row r="36" spans="5:9">
      <c r="E36" s="1"/>
      <c r="F36" s="1"/>
      <c r="G36" s="1"/>
      <c r="H36" s="1"/>
      <c r="I36" s="1"/>
    </row>
    <row r="37" spans="5:9">
      <c r="E37" s="1"/>
      <c r="F37" s="1"/>
      <c r="G37" s="1"/>
      <c r="H37" s="1"/>
      <c r="I37" s="1"/>
    </row>
    <row r="38" spans="5:9">
      <c r="E38" s="1"/>
      <c r="F38" s="1"/>
      <c r="G38" s="1"/>
      <c r="H38" s="1"/>
      <c r="I38" s="1"/>
    </row>
    <row r="39" spans="5:9">
      <c r="E39" s="1"/>
      <c r="F39" s="1"/>
      <c r="G39" s="1"/>
      <c r="H39" s="1"/>
      <c r="I39" s="1"/>
    </row>
    <row r="40" spans="5:9">
      <c r="E40" s="1"/>
      <c r="F40" s="1"/>
      <c r="G40" s="1"/>
      <c r="H40" s="1"/>
      <c r="I40" s="1"/>
    </row>
    <row r="41" spans="5:9">
      <c r="E41" s="1"/>
      <c r="F41" s="1"/>
      <c r="G41" s="1"/>
      <c r="H41" s="1"/>
      <c r="I41" s="1"/>
    </row>
    <row r="42" spans="5:9">
      <c r="E42" s="1"/>
      <c r="F42" s="1"/>
      <c r="G42" s="1"/>
      <c r="H42" s="1"/>
      <c r="I42" s="1"/>
    </row>
  </sheetData>
  <mergeCells count="2">
    <mergeCell ref="A1:N1"/>
    <mergeCell ref="A2:N2"/>
  </mergeCells>
  <conditionalFormatting sqref="B5:O14">
    <cfRule type="expression" dxfId="1" priority="1">
      <formula>WEEKDAY(B5,2)&gt;5</formula>
    </cfRule>
  </conditionalFormatting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NIHL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kilosort</dc:creator>
  <cp:lastModifiedBy>Srivastava, Hemant Kumar</cp:lastModifiedBy>
  <dcterms:created xsi:type="dcterms:W3CDTF">2026-05-07T21:42:43Z</dcterms:created>
  <dcterms:modified xsi:type="dcterms:W3CDTF">2026-05-07T21:42:43Z</dcterms:modified>
</cp:coreProperties>
</file>